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16" i="1" l="1"/>
  <c r="L14" i="1" s="1"/>
  <c r="M14" i="1" s="1"/>
  <c r="C16" i="1"/>
  <c r="E14" i="1" s="1"/>
  <c r="F14" i="1" s="1"/>
  <c r="J7" i="1"/>
  <c r="L5" i="1" s="1"/>
  <c r="M5" i="1" s="1"/>
  <c r="C7" i="1"/>
  <c r="E3" i="1" s="1"/>
  <c r="F3" i="1" s="1"/>
  <c r="E2" i="1" l="1"/>
  <c r="F2" i="1" s="1"/>
  <c r="L11" i="1"/>
  <c r="M11" i="1" s="1"/>
  <c r="L13" i="1"/>
  <c r="M13" i="1" s="1"/>
  <c r="L16" i="1"/>
  <c r="L12" i="1"/>
  <c r="M12" i="1" s="1"/>
  <c r="L15" i="1"/>
  <c r="M15" i="1" s="1"/>
  <c r="E13" i="1"/>
  <c r="F13" i="1" s="1"/>
  <c r="E16" i="1"/>
  <c r="E12" i="1"/>
  <c r="F12" i="1" s="1"/>
  <c r="E11" i="1"/>
  <c r="F11" i="1" s="1"/>
  <c r="E15" i="1"/>
  <c r="F15" i="1" s="1"/>
  <c r="L2" i="1"/>
  <c r="M2" i="1" s="1"/>
  <c r="L7" i="1"/>
  <c r="L3" i="1"/>
  <c r="M3" i="1" s="1"/>
  <c r="L6" i="1"/>
  <c r="M6" i="1" s="1"/>
  <c r="L4" i="1"/>
  <c r="M4" i="1" s="1"/>
  <c r="E6" i="1"/>
  <c r="F6" i="1" s="1"/>
  <c r="E5" i="1"/>
  <c r="F5" i="1" s="1"/>
  <c r="E7" i="1"/>
  <c r="E4" i="1"/>
  <c r="F4" i="1" s="1"/>
  <c r="F16" i="1" l="1"/>
  <c r="M16" i="1"/>
  <c r="M7" i="1"/>
  <c r="F7" i="1"/>
</calcChain>
</file>

<file path=xl/sharedStrings.xml><?xml version="1.0" encoding="utf-8"?>
<sst xmlns="http://schemas.openxmlformats.org/spreadsheetml/2006/main" count="48" uniqueCount="24">
  <si>
    <t>道具</t>
    <phoneticPr fontId="1" type="noConversion"/>
  </si>
  <si>
    <t>图案</t>
    <phoneticPr fontId="1" type="noConversion"/>
  </si>
  <si>
    <t>个数</t>
    <phoneticPr fontId="1" type="noConversion"/>
  </si>
  <si>
    <t>赔率</t>
    <phoneticPr fontId="1" type="noConversion"/>
  </si>
  <si>
    <t>概率</t>
    <phoneticPr fontId="1" type="noConversion"/>
  </si>
  <si>
    <t>赔付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</si>
  <si>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</si>
  <si>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</si>
  <si>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</si>
  <si>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</si>
  <si>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</si>
  <si>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Total</t>
    <phoneticPr fontId="1" type="noConversion"/>
  </si>
  <si>
    <t>道具</t>
    <phoneticPr fontId="1" type="noConversion"/>
  </si>
  <si>
    <t>图案</t>
    <phoneticPr fontId="1" type="noConversion"/>
  </si>
  <si>
    <t>赔率</t>
    <phoneticPr fontId="1" type="noConversion"/>
  </si>
  <si>
    <t>概率</t>
    <phoneticPr fontId="1" type="noConversion"/>
  </si>
  <si>
    <t>赔付</t>
    <phoneticPr fontId="1" type="noConversion"/>
  </si>
  <si>
    <t>B</t>
    <phoneticPr fontId="1" type="noConversion"/>
  </si>
  <si>
    <t>D</t>
    <phoneticPr fontId="1" type="noConversion"/>
  </si>
  <si>
    <t>Total</t>
    <phoneticPr fontId="1" type="noConversion"/>
  </si>
  <si>
    <t>A</t>
    <phoneticPr fontId="1" type="noConversion"/>
  </si>
  <si>
    <t>B</t>
    <phoneticPr fontId="1" type="noConversion"/>
  </si>
  <si>
    <t>E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</si>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</sst>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J3" sqref="J3"/>
    </sheetView>
  </sheetViews>
  <sheetFormatPr defaultRowHeight="13.5" x14ac:dyDescent="0.15"/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12</v>
      </c>
      <c r="I1" t="s">
        <v>13</v>
      </c>
      <c r="J1" t="s">
        <v>2</v>
      </c>
      <c r="K1" t="s">
        <v>14</v>
      </c>
      <c r="L1" t="s">
        <v>15</v>
      </c>
      <c r="M1" t="s">
        <v>16</v>
      </c>
    </row>
    <row r="2" spans="1:13" x14ac:dyDescent="0.15">
      <c r="A2" s="1">
        <v>0</v>
      </c>
      <c r="B2" t="s">
        <v>6</v>
      </c>
      <c r="C2">
        <v>50</v>
      </c>
      <c r="D2">
        <v>0</v>
      </c>
      <c r="E2">
        <f>C2/$C$7</f>
        <v>0.4854368932038835</v>
      </c>
      <c r="F2">
        <f>D2*E2</f>
        <v>0</v>
      </c>
      <c r="H2" s="1">
        <v>1</v>
      </c>
      <c r="I2" t="s">
        <v>6</v>
      </c>
      <c r="J2">
        <v>45</v>
      </c>
      <c r="K2">
        <v>0</v>
      </c>
      <c r="L2">
        <f>J2/$J$7</f>
        <v>0.43689320388349512</v>
      </c>
      <c r="M2">
        <f>K2*L2</f>
        <v>0</v>
      </c>
    </row>
    <row r="3" spans="1:13" x14ac:dyDescent="0.15">
      <c r="A3" s="1">
        <v>0</v>
      </c>
      <c r="B3" t="s">
        <v>7</v>
      </c>
      <c r="C3">
        <v>40</v>
      </c>
      <c r="D3">
        <v>1.5</v>
      </c>
      <c r="E3">
        <f t="shared" ref="E3:E7" si="0">C3/$C$7</f>
        <v>0.38834951456310679</v>
      </c>
      <c r="F3">
        <f t="shared" ref="F3:F6" si="1">D3*E3</f>
        <v>0.58252427184466016</v>
      </c>
      <c r="H3" s="1">
        <v>1</v>
      </c>
      <c r="I3" t="s">
        <v>17</v>
      </c>
      <c r="J3">
        <v>42</v>
      </c>
      <c r="K3">
        <v>1.25</v>
      </c>
      <c r="L3">
        <f t="shared" ref="L3:L7" si="2">J3/$J$7</f>
        <v>0.40776699029126212</v>
      </c>
      <c r="M3">
        <f t="shared" ref="M3:M6" si="3">K3*L3</f>
        <v>0.50970873786407767</v>
      </c>
    </row>
    <row r="4" spans="1:13" x14ac:dyDescent="0.15">
      <c r="A4" s="1">
        <v>0</v>
      </c>
      <c r="B4" t="s">
        <v>8</v>
      </c>
      <c r="C4">
        <v>10</v>
      </c>
      <c r="D4">
        <v>2</v>
      </c>
      <c r="E4">
        <f t="shared" si="0"/>
        <v>9.7087378640776698E-2</v>
      </c>
      <c r="F4">
        <f t="shared" si="1"/>
        <v>0.1941747572815534</v>
      </c>
      <c r="H4" s="1">
        <v>1</v>
      </c>
      <c r="I4" t="s">
        <v>8</v>
      </c>
      <c r="J4">
        <v>11</v>
      </c>
      <c r="K4">
        <v>1.6666669999999999</v>
      </c>
      <c r="L4">
        <f t="shared" si="2"/>
        <v>0.10679611650485436</v>
      </c>
      <c r="M4">
        <f t="shared" si="3"/>
        <v>0.17799356310679609</v>
      </c>
    </row>
    <row r="5" spans="1:13" x14ac:dyDescent="0.15">
      <c r="A5" s="1">
        <v>0</v>
      </c>
      <c r="B5" t="s">
        <v>9</v>
      </c>
      <c r="C5">
        <v>2</v>
      </c>
      <c r="D5">
        <v>5</v>
      </c>
      <c r="E5">
        <f t="shared" si="0"/>
        <v>1.9417475728155338E-2</v>
      </c>
      <c r="F5">
        <f>D5*E5</f>
        <v>9.7087378640776684E-2</v>
      </c>
      <c r="H5" s="1">
        <v>1</v>
      </c>
      <c r="I5" t="s">
        <v>18</v>
      </c>
      <c r="J5">
        <v>3</v>
      </c>
      <c r="K5">
        <v>4.1666670000000003</v>
      </c>
      <c r="L5">
        <f t="shared" si="2"/>
        <v>2.9126213592233011E-2</v>
      </c>
      <c r="M5">
        <f t="shared" si="3"/>
        <v>0.12135923300970876</v>
      </c>
    </row>
    <row r="6" spans="1:13" x14ac:dyDescent="0.15">
      <c r="A6" s="1">
        <v>0</v>
      </c>
      <c r="B6" t="s">
        <v>10</v>
      </c>
      <c r="C6">
        <v>1</v>
      </c>
      <c r="D6">
        <v>10</v>
      </c>
      <c r="E6">
        <f t="shared" si="0"/>
        <v>9.7087378640776691E-3</v>
      </c>
      <c r="F6">
        <f t="shared" si="1"/>
        <v>9.7087378640776684E-2</v>
      </c>
      <c r="H6" s="1">
        <v>1</v>
      </c>
      <c r="I6" t="s">
        <v>10</v>
      </c>
      <c r="J6">
        <v>2</v>
      </c>
      <c r="K6">
        <v>8.3333329999999997</v>
      </c>
      <c r="L6">
        <f t="shared" si="2"/>
        <v>1.9417475728155338E-2</v>
      </c>
      <c r="M6">
        <f t="shared" si="3"/>
        <v>0.16181229126213589</v>
      </c>
    </row>
    <row r="7" spans="1:13" x14ac:dyDescent="0.15">
      <c r="A7" t="s">
        <v>11</v>
      </c>
      <c r="C7">
        <f>SUM(C2:C6)</f>
        <v>103</v>
      </c>
      <c r="E7">
        <f t="shared" si="0"/>
        <v>1</v>
      </c>
      <c r="F7">
        <f>SUM(F2:F6)</f>
        <v>0.97087378640776689</v>
      </c>
      <c r="H7" t="s">
        <v>19</v>
      </c>
      <c r="J7">
        <f>SUM(J2:J6)</f>
        <v>103</v>
      </c>
      <c r="L7">
        <f t="shared" si="2"/>
        <v>1</v>
      </c>
      <c r="M7">
        <f>SUM(M2:M6)</f>
        <v>0.97087382524271848</v>
      </c>
    </row>
    <row r="10" spans="1:13" x14ac:dyDescent="0.1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H10" t="s">
        <v>12</v>
      </c>
      <c r="I10" t="s">
        <v>13</v>
      </c>
      <c r="J10" t="s">
        <v>2</v>
      </c>
      <c r="K10" t="s">
        <v>14</v>
      </c>
      <c r="L10" t="s">
        <v>15</v>
      </c>
      <c r="M10" t="s">
        <v>16</v>
      </c>
    </row>
    <row r="11" spans="1:13" x14ac:dyDescent="0.15">
      <c r="A11" s="1">
        <v>2</v>
      </c>
      <c r="B11" t="s">
        <v>20</v>
      </c>
      <c r="C11">
        <v>45</v>
      </c>
      <c r="D11">
        <v>0</v>
      </c>
      <c r="E11">
        <f>C11/$C$16</f>
        <v>0.42452830188679247</v>
      </c>
      <c r="F11">
        <f>D11*E11</f>
        <v>0</v>
      </c>
      <c r="H11" s="1">
        <v>3</v>
      </c>
      <c r="I11" t="s">
        <v>20</v>
      </c>
      <c r="J11">
        <v>40</v>
      </c>
      <c r="K11">
        <v>0</v>
      </c>
      <c r="L11">
        <f>J11/$J$16</f>
        <v>0.38834951456310679</v>
      </c>
      <c r="M11">
        <f>K11*L11</f>
        <v>0</v>
      </c>
    </row>
    <row r="12" spans="1:13" x14ac:dyDescent="0.15">
      <c r="A12" s="1">
        <v>2</v>
      </c>
      <c r="B12" t="s">
        <v>21</v>
      </c>
      <c r="C12">
        <v>40</v>
      </c>
      <c r="D12">
        <v>1.071429</v>
      </c>
      <c r="E12">
        <f t="shared" ref="E12:E16" si="4">C12/$C$16</f>
        <v>0.37735849056603776</v>
      </c>
      <c r="F12">
        <f t="shared" ref="F12:F15" si="5">D12*E12</f>
        <v>0.40431283018867925</v>
      </c>
      <c r="H12" s="1">
        <v>3</v>
      </c>
      <c r="I12" t="s">
        <v>17</v>
      </c>
      <c r="J12">
        <v>40</v>
      </c>
      <c r="K12">
        <v>0.9375</v>
      </c>
      <c r="L12">
        <f t="shared" ref="L12:L16" si="6">J12/$J$16</f>
        <v>0.38834951456310679</v>
      </c>
      <c r="M12">
        <f t="shared" ref="M12:M15" si="7">K12*L12</f>
        <v>0.36407766990291263</v>
      </c>
    </row>
    <row r="13" spans="1:13" x14ac:dyDescent="0.15">
      <c r="A13" s="1">
        <v>2</v>
      </c>
      <c r="B13" t="s">
        <v>8</v>
      </c>
      <c r="C13">
        <v>12</v>
      </c>
      <c r="D13">
        <v>1.428571</v>
      </c>
      <c r="E13">
        <f t="shared" si="4"/>
        <v>0.11320754716981132</v>
      </c>
      <c r="F13">
        <f t="shared" si="5"/>
        <v>0.16172501886792454</v>
      </c>
      <c r="H13" s="1">
        <v>3</v>
      </c>
      <c r="I13" t="s">
        <v>8</v>
      </c>
      <c r="J13">
        <v>10</v>
      </c>
      <c r="K13">
        <v>1.25</v>
      </c>
      <c r="L13">
        <f t="shared" si="6"/>
        <v>9.7087378640776698E-2</v>
      </c>
      <c r="M13">
        <f t="shared" si="7"/>
        <v>0.12135922330097088</v>
      </c>
    </row>
    <row r="14" spans="1:13" x14ac:dyDescent="0.15">
      <c r="A14" s="1">
        <v>2</v>
      </c>
      <c r="B14" t="s">
        <v>18</v>
      </c>
      <c r="C14">
        <v>6</v>
      </c>
      <c r="D14">
        <v>3.5714290000000002</v>
      </c>
      <c r="E14">
        <f t="shared" si="4"/>
        <v>5.6603773584905662E-2</v>
      </c>
      <c r="F14">
        <f t="shared" si="5"/>
        <v>0.20215635849056604</v>
      </c>
      <c r="H14" s="1">
        <v>3</v>
      </c>
      <c r="I14" t="s">
        <v>23</v>
      </c>
      <c r="J14">
        <v>10</v>
      </c>
      <c r="K14">
        <v>3.125</v>
      </c>
      <c r="L14">
        <f t="shared" si="6"/>
        <v>9.7087378640776698E-2</v>
      </c>
      <c r="M14">
        <f t="shared" si="7"/>
        <v>0.30339805825242716</v>
      </c>
    </row>
    <row r="15" spans="1:13" x14ac:dyDescent="0.15">
      <c r="A15" s="1">
        <v>2</v>
      </c>
      <c r="B15" t="s">
        <v>22</v>
      </c>
      <c r="C15">
        <v>3</v>
      </c>
      <c r="D15">
        <v>7.1428570000000002</v>
      </c>
      <c r="E15">
        <f t="shared" si="4"/>
        <v>2.8301886792452831E-2</v>
      </c>
      <c r="F15">
        <f t="shared" si="5"/>
        <v>0.20215633018867926</v>
      </c>
      <c r="H15" s="1">
        <v>3</v>
      </c>
      <c r="I15" t="s">
        <v>10</v>
      </c>
      <c r="J15">
        <v>3</v>
      </c>
      <c r="K15">
        <v>6.25</v>
      </c>
      <c r="L15">
        <f t="shared" si="6"/>
        <v>2.9126213592233011E-2</v>
      </c>
      <c r="M15">
        <f t="shared" si="7"/>
        <v>0.18203883495145631</v>
      </c>
    </row>
    <row r="16" spans="1:13" x14ac:dyDescent="0.15">
      <c r="A16" t="s">
        <v>11</v>
      </c>
      <c r="C16">
        <f>SUM(C11:C15)</f>
        <v>106</v>
      </c>
      <c r="E16">
        <f t="shared" si="4"/>
        <v>1</v>
      </c>
      <c r="F16">
        <f>SUM(F11:F15)</f>
        <v>0.97035053773584912</v>
      </c>
      <c r="H16" t="s">
        <v>11</v>
      </c>
      <c r="J16">
        <f>SUM(J11:J15)</f>
        <v>103</v>
      </c>
      <c r="L16">
        <f t="shared" si="6"/>
        <v>1</v>
      </c>
      <c r="M16">
        <f>SUM(M11:M15)</f>
        <v>0.970873786407767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2018-06-28T03:01:22Z</dcterms:modified>
</cp:coreProperties>
</file>